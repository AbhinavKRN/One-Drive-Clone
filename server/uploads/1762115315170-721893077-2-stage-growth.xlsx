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029"/>
  <workbookPr defaultThemeVersion="202300"/>
  <bookViews>
    <workbookView xWindow="2422" yWindow="0" windowWidth="19291" windowHeight="12863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<sst xmlns="http://schemas.openxmlformats.org/spreadsheetml/2006/main" uniqueCount="7" count="7">
  <si>
    <t>Dividend</t>
  </si>
  <si>
    <t>n</t>
  </si>
  <si>
    <t>Discount Factor</t>
  </si>
  <si>
    <t>Discounted Cash Flow</t>
  </si>
  <si>
    <t>D_n</t>
  </si>
  <si>
    <t>DF</t>
  </si>
  <si>
    <t>DCF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</si>
</sst>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ptos Narrow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9</xdr:col>
      <xdr:colOff>328297</xdr:colOff>
      <xdr:row>71</xdr:row>
      <xdr:rowOff>101091</xdr:rowOff>
    </xdr:to>
    <xdr:pic>
      <xdr:nvPicPr>
        <xdr:cNvPr id="2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95400" y="2895600"/>
          <a:ext cx="5657850" cy="100584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1"/>
  <sheetViews>
    <sheetView tabSelected="1" workbookViewId="0">
      <selection activeCell="C17" sqref="C17"/>
    </sheetView>
  </sheetViews>
  <sheetFormatPr defaultRowHeight="14.25" defaultColWidth="10"/>
  <cols>
    <col min="3" max="3" customWidth="1" width="20.199219" style="0"/>
  </cols>
  <sheetData>
    <row r="2" spans="8:8">
      <c r="B2">
        <v>7.12</v>
      </c>
      <c r="C2" t="s">
        <v>1</v>
      </c>
      <c r="D2">
        <v>1.0</v>
      </c>
      <c r="E2">
        <v>2.0</v>
      </c>
      <c r="F2">
        <v>3.0</v>
      </c>
      <c r="G2">
        <v>4.0</v>
      </c>
      <c r="H2">
        <v>5.0</v>
      </c>
      <c r="I2">
        <v>6.0</v>
      </c>
      <c r="J2">
        <v>7.0</v>
      </c>
      <c r="K2">
        <v>8.0</v>
      </c>
      <c r="L2">
        <v>9.0</v>
      </c>
    </row>
    <row r="3" spans="8:8">
      <c r="C3" t="s">
        <v>0</v>
      </c>
      <c r="D3">
        <f>1.5*(1+12%)</f>
        <v>1.6800000000000002</v>
      </c>
      <c r="E3">
        <f>D3*(1.12)</f>
        <v>1.8816000000000004</v>
      </c>
      <c r="F3">
        <f>E3*1.12</f>
        <v>2.107392000000001</v>
      </c>
      <c r="G3">
        <f>F3*1.12</f>
        <v>2.3602790400000013</v>
      </c>
      <c r="H3">
        <f>G3*1.08</f>
        <v>2.5491013632000015</v>
      </c>
      <c r="I3">
        <f>H3*1.08</f>
        <v>2.7530294722560016</v>
      </c>
      <c r="J3">
        <f>I3*1.08</f>
        <v>2.9732718300364818</v>
      </c>
      <c r="K3">
        <f>J3*1.08</f>
        <v>3.2111335764394004</v>
      </c>
      <c r="L3">
        <f>K3*(1+5%)/(14%-5%)</f>
        <v>37.46322505845967</v>
      </c>
    </row>
    <row r="4" spans="8:8">
      <c r="C4" t="s">
        <v>2</v>
      </c>
      <c r="D4">
        <f>1/(1+14%)^D2</f>
        <v>0.8771929824561403</v>
      </c>
      <c r="E4">
        <f t="shared" si="0" ref="E4:L4">1/(1+14%)^E2</f>
        <v>0.7694675284702984</v>
      </c>
      <c r="F4">
        <f t="shared" si="0"/>
        <v>0.6749715162020161</v>
      </c>
      <c r="G4">
        <f t="shared" si="0"/>
        <v>0.5920802773701894</v>
      </c>
      <c r="H4">
        <f t="shared" si="0"/>
        <v>0.5193686643598152</v>
      </c>
      <c r="I4">
        <f t="shared" si="0"/>
        <v>0.45558654768404844</v>
      </c>
      <c r="J4">
        <f t="shared" si="0"/>
        <v>0.39963732252986695</v>
      </c>
      <c r="K4">
        <f t="shared" si="0"/>
        <v>0.3505590548507605</v>
      </c>
      <c r="L4">
        <f t="shared" si="0"/>
        <v>0.3075079428515442</v>
      </c>
    </row>
    <row r="5" spans="8:8">
      <c r="C5" t="s">
        <v>3</v>
      </c>
      <c r="D5">
        <f>D4*D3</f>
        <v>1.473684210526316</v>
      </c>
      <c r="E5">
        <f t="shared" si="1" ref="E5:L5">E4*E3</f>
        <v>1.4478301015697137</v>
      </c>
      <c r="F5">
        <f t="shared" si="1"/>
        <v>1.4224295734719996</v>
      </c>
      <c r="G5">
        <f t="shared" si="1"/>
        <v>1.3974746686742452</v>
      </c>
      <c r="H5">
        <f t="shared" si="1"/>
        <v>1.323923370322969</v>
      </c>
      <c r="I5">
        <f t="shared" si="1"/>
        <v>1.2542431929375495</v>
      </c>
      <c r="J5">
        <f t="shared" si="1"/>
        <v>1.1882303933092573</v>
      </c>
      <c r="K5">
        <f t="shared" si="1"/>
        <v>1.1256919515561385</v>
      </c>
      <c r="L5">
        <f t="shared" si="1"/>
        <v>11.520239270311356</v>
      </c>
      <c r="M5">
        <f>SUM(D5:L5)</f>
        <v>22.153746732679544</v>
      </c>
    </row>
    <row r="8" spans="8:8">
      <c r="B8">
        <v>7.13</v>
      </c>
      <c r="C8" t="s">
        <v>1</v>
      </c>
      <c r="D8">
        <v>1.0</v>
      </c>
      <c r="E8">
        <v>2.0</v>
      </c>
      <c r="F8">
        <v>3.0</v>
      </c>
      <c r="G8">
        <v>4.0</v>
      </c>
      <c r="H8">
        <v>5.0</v>
      </c>
      <c r="I8">
        <v>6.0</v>
      </c>
    </row>
    <row r="9" spans="8:8">
      <c r="C9" t="s">
        <v>4</v>
      </c>
      <c r="D9">
        <f>2*1.15</f>
        <v>2.3</v>
      </c>
      <c r="E9">
        <f>D9*1.15</f>
        <v>2.6449999999999996</v>
      </c>
      <c r="F9">
        <f>E9*1.15</f>
        <v>3.041749999999999</v>
      </c>
      <c r="G9">
        <f>F9*1.15</f>
        <v>3.498012499999999</v>
      </c>
      <c r="H9">
        <f>G9*1.15</f>
        <v>4.022714374999999</v>
      </c>
      <c r="I9">
        <f>H9*(1.1)/(12%-10%)</f>
        <v>221.24929062500007</v>
      </c>
    </row>
    <row r="10" spans="8:8">
      <c r="C10" t="s">
        <v>5</v>
      </c>
      <c r="D10">
        <f>1/(1+12%)^D8</f>
        <v>0.8928571428571428</v>
      </c>
      <c r="E10">
        <f t="shared" si="2" ref="E10:I10">1/(1+12%)^E8</f>
        <v>0.7971938775510203</v>
      </c>
      <c r="F10">
        <f t="shared" si="2"/>
        <v>0.7117802478134109</v>
      </c>
      <c r="G10">
        <f t="shared" si="2"/>
        <v>0.6355180784048311</v>
      </c>
      <c r="H10">
        <f t="shared" si="2"/>
        <v>0.5674268557185992</v>
      </c>
      <c r="I10">
        <f t="shared" si="2"/>
        <v>0.5066311211773206</v>
      </c>
    </row>
    <row r="11" spans="8:8">
      <c r="C11" t="s">
        <v>6</v>
      </c>
      <c r="D11">
        <f>D9*D10</f>
        <v>2.0535714285714284</v>
      </c>
      <c r="E11">
        <f t="shared" si="3" ref="E11:I11">E9*E10</f>
        <v>2.1085778061224483</v>
      </c>
      <c r="F11">
        <f t="shared" si="3"/>
        <v>2.165057568786442</v>
      </c>
      <c r="G11">
        <f t="shared" si="3"/>
        <v>2.2230501822360784</v>
      </c>
      <c r="H11">
        <f t="shared" si="3"/>
        <v>2.282596169260259</v>
      </c>
      <c r="I11">
        <f t="shared" si="3"/>
        <v>112.09177616903062</v>
      </c>
      <c r="J11">
        <f>SUM(D11:I11)</f>
        <v>122.92462932400728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 Amit Ram  Puniyani</dc:creator>
  <cp:lastModifiedBy>Dr. Amit Ram  Puniyani</cp:lastModifiedBy>
  <dcterms:created xsi:type="dcterms:W3CDTF">2025-08-28T23:53:15Z</dcterms:created>
  <dcterms:modified xsi:type="dcterms:W3CDTF">2025-08-29T05:53:29Z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5d49c37651b84ebfb23cc54d301c702c</vt:lpwstr>
  </property>
</Properties>
</file>